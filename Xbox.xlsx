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ulc\OneDrive\Desktop\Excel\"/>
    </mc:Choice>
  </mc:AlternateContent>
  <xr:revisionPtr revIDLastSave="0" documentId="13_ncr:1_{E63095CC-0F12-45BC-90EB-8F4BF4834407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3" l="1"/>
  <c r="F36" i="3"/>
</calcChain>
</file>

<file path=xl/sharedStrings.xml><?xml version="1.0" encoding="utf-8"?>
<sst xmlns="http://schemas.openxmlformats.org/spreadsheetml/2006/main" count="2034" uniqueCount="328">
  <si>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</si>
  <si>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</si>
  <si>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</si>
  <si>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</si>
  <si>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</si>
  <si>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</si>
  <si>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</si>
  <si>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</si>
  <si>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</si>
  <si>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</si>
  <si>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</si>
  <si>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</si>
  <si>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</si>
  <si>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</si>
  <si>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</si>
  <si>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</si>
  <si>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</si>
  <si>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</si>
  <si>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</si>
  <si>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</si>
  <si>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</si>
  <si>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</si>
  <si>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</si>
  <si>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</si>
  <si>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</si>
  <si>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</si>
  <si>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</si>
  <si>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</si>
  <si>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</si>
  <si>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</si>
  <si>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</si>
  <si>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</si>
  <si>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</si>
  <si>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</si>
  <si>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</si>
  <si>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</si>
  <si>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</si>
  <si>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</si>
  <si>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</si>
  <si>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</si>
  <si>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</si>
  <si>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</si>
  <si>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</si>
  <si>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</si>
  <si>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</si>
  <si>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</si>
  <si>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</si>
  <si>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</si>
  <si>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</si>
  <si>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</si>
  <si>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</si>
  <si>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</si>
  <si>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</si>
  <si>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</si>
  <si>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</si>
  <si>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</si>
  <si>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</si>
  <si>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</si>
  <si>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</si>
  <si>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</si>
  <si>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</si>
  <si>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</si>
  <si>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</si>
  <si>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</si>
  <si>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</si>
  <si>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</si>
  <si>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</si>
  <si>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</si>
  <si>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</si>
  <si>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</si>
  <si>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</si>
  <si>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</si>
  <si>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</si>
  <si>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</si>
  <si>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</si>
  <si>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</si>
  <si>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</si>
  <si>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</si>
  <si>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</si>
  <si>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</si>
  <si>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</si>
  <si>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</si>
  <si>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</si>
  <si>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</si>
  <si>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</si>
  <si>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</si>
  <si>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</si>
  <si>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</si>
  <si>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</si>
  <si>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</si>
  <si>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</si>
  <si>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</si>
  <si>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</si>
  <si>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</si>
  <si>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</si>
  <si>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</si>
  <si>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</si>
  <si>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</si>
  <si>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</si>
  <si>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</si>
  <si>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</si>
  <si>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</si>
  <si>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</si>
  <si>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</si>
  <si>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</si>
  <si>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</si>
  <si>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</si>
  <si>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</si>
  <si>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</si>
  <si>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</si>
  <si>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</si>
  <si>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</si>
  <si>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</si>
  <si>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</si>
  <si>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</si>
  <si>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</si>
  <si>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</si>
  <si>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</si>
  <si>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</si>
  <si>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</si>
  <si>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</si>
  <si>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</si>
  <si>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</si>
  <si>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</si>
  <si>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</si>
  <si>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</si>
  <si>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</si>
  <si>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</si>
  <si>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</si>
  <si>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</si>
  <si>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</si>
  <si>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</si>
  <si>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</si>
  <si>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</si>
  <si>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</si>
  <si>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</si>
  <si>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</si>
  <si>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</si>
  <si>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</si>
  <si>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</si>
  <si>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</si>
  <si>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</si>
  <si>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</si>
  <si>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</si>
  <si>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</si>
  <si>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</si>
  <si>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</si>
  <si>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</si>
  <si>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</si>
  <si>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</si>
  <si>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</si>
  <si>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</si>
  <si>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</si>
  <si>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</si>
  <si>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</si>
  <si>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</si>
  <si>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</si>
  <si>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</si>
  <si>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</si>
  <si>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</si>
  <si>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</si>
  <si>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</si>
  <si>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</si>
  <si>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</si>
  <si>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</si>
  <si>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</si>
  <si>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</si>
  <si>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</si>
  <si>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</si>
  <si>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</si>
  <si>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</si>
  <si>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</si>
  <si>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</si>
  <si>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</si>
  <si>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</si>
  <si>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</si>
  <si>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</si>
  <si>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</si>
  <si>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</si>
  <si>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</si>
  <si>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</si>
  <si>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</si>
  <si>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</si>
  <si>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</si>
  <si>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</si>
  <si>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</si>
  <si>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</si>
  <si>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</si>
  <si>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</si>
  <si>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</si>
  <si>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</si>
  <si>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</si>
  <si>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</si>
  <si>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</si>
  <si>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</si>
  <si>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</si>
  <si>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</si>
  <si>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</si>
  <si>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</si>
  <si>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</si>
  <si>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</si>
  <si>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</si>
  <si>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</si>
  <si>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</si>
  <si>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</si>
  <si>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</si>
  <si>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</si>
  <si>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</si>
  <si>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</si>
  <si>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</si>
  <si>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</si>
  <si>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</si>
  <si>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</si>
  <si>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</si>
  <si>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</si>
  <si>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</si>
  <si>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</si>
  <si>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</si>
  <si>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</si>
  <si>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</si>
  <si>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</si>
  <si>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</si>
  <si>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</si>
  <si>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</si>
  <si>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</si>
  <si>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</si>
  <si>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</si>
  <si>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</si>
  <si>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</si>
  <si>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</si>
  <si>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</si>
  <si>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</si>
  <si>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</si>
  <si>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</si>
  <si>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</si>
  <si>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</si>
  <si>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</si>
  <si>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</si>
  <si>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</si>
  <si>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</si>
  <si>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</si>
  <si>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</si>
  <si>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</si>
  <si>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</si>
  <si>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</si>
  <si>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</si>
  <si>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</si>
  <si>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</si>
  <si>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</si>
  <si>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</si>
  <si>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</si>
  <si>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</si>
  <si>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</si>
  <si>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</si>
  <si>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</si>
  <si>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</si>
  <si>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</si>
  <si>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</si>
  <si>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</si>
  <si>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</si>
  <si>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</si>
  <si>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</si>
  <si>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</si>
  <si>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</si>
  <si>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</si>
  <si>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</si>
  <si>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</si>
  <si>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</si>
  <si>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</si>
  <si>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</si>
  <si>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</si>
  <si>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</si>
  <si>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</si>
  <si>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</si>
  <si>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</si>
  <si>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</si>
  <si>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</si>
  <si>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</si>
  <si>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</si>
  <si>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</si>
  <si>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</si>
  <si>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</si>
  <si>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</si>
  <si>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</si>
  <si>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</si>
  <si>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</si>
  <si>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</si>
  <si>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</si>
  <si>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</si>
  <si>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</si>
  <si>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</si>
  <si>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</si>
  <si>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</si>
  <si>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</si>
  <si>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</si>
  <si>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</si>
  <si>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</si>
  <si>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</si>
  <si>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</si>
  <si>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</si>
  <si>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</si>
  <si>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</si>
  <si>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</si>
  <si>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</si>
  <si>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</si>
  <si>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</si>
  <si>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</si>
  <si>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</si>
  <si>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</si>
  <si>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</si>
  <si>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</si>
  <si>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</si>
  <si>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</si>
  <si>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negocio respondida através de alguma análise de dado específica</t>
  </si>
  <si>
    <r>
      <t xml:space="preserve">pergunta 1- Qual faturamento </t>
    </r>
    <r>
      <rPr>
        <b/>
        <sz val="11"/>
        <color theme="1"/>
        <rFont val="Aptos Narrow"/>
        <family val="2"/>
        <scheme val="minor"/>
      </rPr>
      <t xml:space="preserve">Total de vendas de planos anuais </t>
    </r>
    <r>
      <rPr>
        <sz val="11"/>
        <color theme="1"/>
        <rFont val="Aptos Narrow"/>
        <family val="2"/>
        <scheme val="minor"/>
      </rPr>
      <t>(contendo todas as assinaturas agragadas)</t>
    </r>
  </si>
  <si>
    <t>Rótulos de Linha</t>
  </si>
  <si>
    <t>Total Geral</t>
  </si>
  <si>
    <t>Soma de Total Value</t>
  </si>
  <si>
    <r>
      <t xml:space="preserve">Pergunta 2- Qual o faturamento </t>
    </r>
    <r>
      <rPr>
        <b/>
        <sz val="11"/>
        <color theme="1"/>
        <rFont val="Aptos Narrow"/>
        <family val="2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s de planos anuais, separado por auto renovação </t>
    </r>
  </si>
  <si>
    <t>XBOX GAME PASS SUBSCRIPTIONS SALES</t>
  </si>
  <si>
    <t>pergunta de negocio 3 - total de vendas da EA play</t>
  </si>
  <si>
    <t>Soma de EA Play Season Pass</t>
  </si>
  <si>
    <t>pergunta de negocio 4 - Total de vendas de Assinaturas do Minecraft Season Pass</t>
  </si>
  <si>
    <t>Soma de Minecraft Season Pass Price</t>
  </si>
  <si>
    <t>(Tudo)</t>
  </si>
  <si>
    <t>Soma de Subscriber ID</t>
  </si>
  <si>
    <t>Soma de Coupon Value</t>
  </si>
  <si>
    <t>Calculation period: 01/01/2024 - 31/01/2024 | Update date: 25/12/2024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</si>
</sst>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0.3999450666829432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9" borderId="0" xfId="0" applyFill="1"/>
    <xf numFmtId="0" fontId="0" fillId="10" borderId="0" xfId="0" applyFill="1"/>
    <xf numFmtId="44" fontId="0" fillId="0" borderId="0" xfId="2" applyFont="1"/>
    <xf numFmtId="0" fontId="4" fillId="8" borderId="0" xfId="3" applyAlignment="1">
      <alignment horizontal="center"/>
    </xf>
    <xf numFmtId="0" fontId="0" fillId="0" borderId="0" xfId="0" applyNumberFormat="1"/>
    <xf numFmtId="0" fontId="0" fillId="11" borderId="0" xfId="0" applyFill="1"/>
    <xf numFmtId="0" fontId="1" fillId="11" borderId="2" xfId="1" applyFill="1" applyBorder="1"/>
    <xf numFmtId="0" fontId="3" fillId="9" borderId="0" xfId="0" applyFont="1" applyFill="1"/>
    <xf numFmtId="0" fontId="5" fillId="11" borderId="2" xfId="1" applyFont="1" applyFill="1" applyBorder="1" applyAlignment="1">
      <alignment horizontal="left" indent="5"/>
    </xf>
    <xf numFmtId="10" fontId="0" fillId="0" borderId="0" xfId="0" applyNumberFormat="1"/>
    <xf numFmtId="0" fontId="6" fillId="10" borderId="0" xfId="0" applyFont="1" applyFill="1"/>
    <xf numFmtId="0" fontId="0" fillId="11" borderId="2" xfId="0" applyFill="1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808080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6 2" pivot="0" table="0" count="10" xr9:uid="{3CF77D30-1AFB-4A09-A6A1-943C653CA5B9}">
      <tableStyleElement type="wholeTable" dxfId="15"/>
      <tableStyleElement type="headerRow" dxfId="14"/>
    </tableStyle>
  </tableStyles>
  <colors>
    <mruColors>
      <color rgb="FF808080"/>
      <color rgb="FFC0C0C0"/>
      <color rgb="FF969696"/>
      <color rgb="FFB2B2B2"/>
      <color rgb="FF5BF6A8"/>
      <color rgb="FF22C55E"/>
      <color rgb="FFE8E6E9"/>
      <color rgb="FF000000"/>
      <color rgb="FFE0E0E0"/>
      <color rgb="FFEDEDED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[Xbox.xlsx]C̳álculos!Tabela dinâmica2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C̳álculos!$J$23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C̳álculos!$I$24:$I$27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C̳álculos!$J$24:$J$27</c:f>
              <c:numCache>
                <c:formatCode>_("R$"* #,##0.00_);_("R$"* \(#,##0.00\);_("R$"* "-"??_);_(@_)</c:formatCode>
                <c:ptCount val="3"/>
                <c:pt idx="0">
                  <c:v>476</c:v>
                </c:pt>
                <c:pt idx="1">
                  <c:v>949</c:v>
                </c:pt>
                <c:pt idx="2">
                  <c:v>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C-46B3-AAE5-3D9BDCBCC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3823440"/>
        <c:axId val="1008481760"/>
      </c:barChart>
      <c:catAx>
        <c:axId val="87382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8481760"/>
        <c:crosses val="autoZero"/>
        <c:auto val="1"/>
        <c:lblAlgn val="ctr"/>
        <c:lblOffset val="100"/>
        <c:noMultiLvlLbl val="0"/>
      </c:catAx>
      <c:valAx>
        <c:axId val="1008481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7382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840313463291292E-2"/>
          <c:y val="0.10373757995937946"/>
          <c:w val="0.92889666468049403"/>
          <c:h val="0.829138103596316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C̳álculos!$C$11:$C$13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C̳álculos!$D$11:$D$13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0-4E43-A5F6-C1F084C35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2147056"/>
        <c:axId val="2000436224"/>
      </c:barChart>
      <c:catAx>
        <c:axId val="1832147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0436224"/>
        <c:crosses val="autoZero"/>
        <c:auto val="1"/>
        <c:lblAlgn val="ctr"/>
        <c:lblOffset val="100"/>
        <c:noMultiLvlLbl val="0"/>
      </c:catAx>
      <c:valAx>
        <c:axId val="200043622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321470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[Xbox.xlsx]C̳álculos!Tabela dinâmica2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C̳álculos!$J$23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C̳álculos!$I$24:$I$27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C̳álculos!$J$24:$J$27</c:f>
              <c:numCache>
                <c:formatCode>_("R$"* #,##0.00_);_("R$"* \(#,##0.00\);_("R$"* "-"??_);_(@_)</c:formatCode>
                <c:ptCount val="3"/>
                <c:pt idx="0">
                  <c:v>476</c:v>
                </c:pt>
                <c:pt idx="1">
                  <c:v>949</c:v>
                </c:pt>
                <c:pt idx="2">
                  <c:v>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6-442B-A0CD-67CA98619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3823440"/>
        <c:axId val="1008481760"/>
      </c:barChart>
      <c:catAx>
        <c:axId val="87382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8481760"/>
        <c:crosses val="autoZero"/>
        <c:auto val="1"/>
        <c:lblAlgn val="ctr"/>
        <c:lblOffset val="100"/>
        <c:noMultiLvlLbl val="0"/>
      </c:catAx>
      <c:valAx>
        <c:axId val="1008481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7382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380999</xdr:colOff>
      <xdr:row>28</xdr:row>
      <xdr:rowOff>28574</xdr:rowOff>
    </xdr:from>
    <xdr:to>
      <xdr:col>10</xdr:col>
      <xdr:colOff>400050</xdr:colOff>
      <xdr:row>40</xdr:row>
      <xdr:rowOff>157161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608987D-CC1F-3CC4-DF9F-748E3271A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1838325</xdr:colOff>
      <xdr:row>0</xdr:row>
      <xdr:rowOff>0</xdr:rowOff>
    </xdr:from>
    <xdr:to>
      <xdr:col>2</xdr:col>
      <xdr:colOff>428625</xdr:colOff>
      <xdr:row>3</xdr:row>
      <xdr:rowOff>12573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A3AA56-1E03-40B2-85CD-150578F589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2607"/>
        <a:stretch/>
      </xdr:blipFill>
      <xdr:spPr>
        <a:xfrm>
          <a:off x="1838325" y="0"/>
          <a:ext cx="790575" cy="984123"/>
        </a:xfrm>
        <a:prstGeom prst="rect">
          <a:avLst/>
        </a:prstGeom>
      </xdr:spPr>
    </xdr:pic>
    <xdr:clientData/>
  </xdr:twoCellAnchor>
  <xdr:twoCellAnchor editAs="oneCell">
    <xdr:from>
      <xdr:col>0</xdr:col>
      <xdr:colOff>114299</xdr:colOff>
      <xdr:row>6</xdr:row>
      <xdr:rowOff>9524</xdr:rowOff>
    </xdr:from>
    <xdr:to>
      <xdr:col>0</xdr:col>
      <xdr:colOff>1895474</xdr:colOff>
      <xdr:row>18</xdr:row>
      <xdr:rowOff>9524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293B03BC-DBE4-419C-8474-008C74D73F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99" y="1523999"/>
              <a:ext cx="1781175" cy="2447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104776</xdr:colOff>
      <xdr:row>7</xdr:row>
      <xdr:rowOff>166686</xdr:rowOff>
    </xdr:from>
    <xdr:to>
      <xdr:col>10</xdr:col>
      <xdr:colOff>276225</xdr:colOff>
      <xdr:row>16</xdr:row>
      <xdr:rowOff>166686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C0847E6F-860B-961C-3728-A56B023C2553}"/>
            </a:ext>
          </a:extLst>
        </xdr:cNvPr>
        <xdr:cNvGrpSpPr/>
      </xdr:nvGrpSpPr>
      <xdr:grpSpPr>
        <a:xfrm>
          <a:off x="2066926" y="1585911"/>
          <a:ext cx="5286374" cy="1943100"/>
          <a:chOff x="2428875" y="1704976"/>
          <a:chExt cx="3829050" cy="1476374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860C1316-FB74-BBC6-8B53-39100F57B17F}"/>
              </a:ext>
            </a:extLst>
          </xdr:cNvPr>
          <xdr:cNvSpPr/>
        </xdr:nvSpPr>
        <xdr:spPr>
          <a:xfrm>
            <a:off x="2428875" y="1962150"/>
            <a:ext cx="3819525" cy="1219200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1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7565CF5E-6728-4BD3-BF14-BC13985AFD5A}"/>
              </a:ext>
            </a:extLst>
          </xdr:cNvPr>
          <xdr:cNvSpPr/>
        </xdr:nvSpPr>
        <xdr:spPr>
          <a:xfrm>
            <a:off x="4062412" y="2043113"/>
            <a:ext cx="2057400" cy="9239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B23CD42-F326-4E5D-8DC1-E5E7EE603483}" type="TxLink">
              <a:rPr lang="en-US" sz="2400" b="0" i="0" u="none" strike="noStrike">
                <a:solidFill>
                  <a:schemeClr val="accent6">
                    <a:lumMod val="75000"/>
                  </a:schemeClr>
                </a:solidFill>
                <a:latin typeface="Aptos Narrow"/>
              </a:rPr>
              <a:pPr algn="ctr"/>
              <a:t> R$ 2.940,00 </a:t>
            </a:fld>
            <a:endParaRPr lang="pt-BR" sz="2400">
              <a:solidFill>
                <a:schemeClr val="accent6">
                  <a:lumMod val="75000"/>
                </a:schemeClr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02CD3223-35E8-4649-96B7-6FF6571BD6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28912" y="1895475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Recortados 10">
            <a:extLst>
              <a:ext uri="{FF2B5EF4-FFF2-40B4-BE49-F238E27FC236}">
                <a16:creationId xmlns:a16="http://schemas.microsoft.com/office/drawing/2014/main" id="{D1D3B387-3BD1-C271-4555-58C5C93E0C7B}"/>
              </a:ext>
            </a:extLst>
          </xdr:cNvPr>
          <xdr:cNvSpPr/>
        </xdr:nvSpPr>
        <xdr:spPr>
          <a:xfrm>
            <a:off x="2428875" y="1704976"/>
            <a:ext cx="3829050" cy="247650"/>
          </a:xfrm>
          <a:prstGeom prst="snip2SameRect">
            <a:avLst>
              <a:gd name="adj1" fmla="val 0"/>
              <a:gd name="adj2" fmla="val 0"/>
            </a:avLst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219074</xdr:colOff>
      <xdr:row>7</xdr:row>
      <xdr:rowOff>157161</xdr:rowOff>
    </xdr:from>
    <xdr:to>
      <xdr:col>19</xdr:col>
      <xdr:colOff>209550</xdr:colOff>
      <xdr:row>16</xdr:row>
      <xdr:rowOff>176212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1FB7766B-9DAB-0F8C-7137-03757E2464E8}"/>
            </a:ext>
          </a:extLst>
        </xdr:cNvPr>
        <xdr:cNvGrpSpPr/>
      </xdr:nvGrpSpPr>
      <xdr:grpSpPr>
        <a:xfrm>
          <a:off x="7905749" y="1576386"/>
          <a:ext cx="4695826" cy="1962151"/>
          <a:chOff x="8020050" y="1724025"/>
          <a:chExt cx="3829051" cy="1476374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CB793DAC-40ED-42F3-8FB7-41500F7F1A68}"/>
              </a:ext>
            </a:extLst>
          </xdr:cNvPr>
          <xdr:cNvGrpSpPr/>
        </xdr:nvGrpSpPr>
        <xdr:grpSpPr>
          <a:xfrm>
            <a:off x="8020050" y="1724025"/>
            <a:ext cx="3829051" cy="1476374"/>
            <a:chOff x="2428875" y="1704976"/>
            <a:chExt cx="3829051" cy="1476374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5F8C66F9-33A3-0894-EFCA-8D7EAD2626C6}"/>
                </a:ext>
              </a:extLst>
            </xdr:cNvPr>
            <xdr:cNvSpPr/>
          </xdr:nvSpPr>
          <xdr:spPr>
            <a:xfrm>
              <a:off x="2428875" y="1962150"/>
              <a:ext cx="3819525" cy="1219200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6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571E1C6F-8284-FBBB-1AC8-A0BCD57A536B}"/>
                </a:ext>
              </a:extLst>
            </xdr:cNvPr>
            <xdr:cNvSpPr/>
          </xdr:nvSpPr>
          <xdr:spPr>
            <a:xfrm>
              <a:off x="4062412" y="2109788"/>
              <a:ext cx="2057400" cy="923925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52FD914-4DEF-4605-B4D8-AC98E9EDC310}" type="TxLink">
                <a:rPr lang="en-US" sz="2400" b="0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</a:rPr>
                <a:pPr algn="ctr"/>
                <a:t> R$ 3.880,00 </a:t>
              </a:fld>
              <a:endParaRPr lang="pt-BR" sz="5400">
                <a:solidFill>
                  <a:schemeClr val="accent6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7" name="Retângulo: Cantos Superiores Recortados 16">
              <a:extLst>
                <a:ext uri="{FF2B5EF4-FFF2-40B4-BE49-F238E27FC236}">
                  <a16:creationId xmlns:a16="http://schemas.microsoft.com/office/drawing/2014/main" id="{75BF4AC9-5C20-1D42-4E41-A3C6865921FF}"/>
                </a:ext>
              </a:extLst>
            </xdr:cNvPr>
            <xdr:cNvSpPr/>
          </xdr:nvSpPr>
          <xdr:spPr>
            <a:xfrm>
              <a:off x="2428876" y="1704976"/>
              <a:ext cx="3829050" cy="247650"/>
            </a:xfrm>
            <a:prstGeom prst="snip2SameRect">
              <a:avLst>
                <a:gd name="adj1" fmla="val 0"/>
                <a:gd name="adj2" fmla="val 0"/>
              </a:avLst>
            </a:prstGeom>
            <a:solidFill>
              <a:schemeClr val="accent6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05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05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SEASON PASS</a:t>
              </a:r>
              <a:endParaRPr lang="pt-BR" sz="105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4C0C39F2-60B6-40B3-9D80-CBE36F87D5DF}"/>
              </a:ext>
            </a:extLst>
          </xdr:cNvPr>
          <xdr:cNvGrpSpPr/>
        </xdr:nvGrpSpPr>
        <xdr:grpSpPr>
          <a:xfrm>
            <a:off x="8181977" y="2293724"/>
            <a:ext cx="1485901" cy="594167"/>
            <a:chOff x="3495675" y="5535631"/>
            <a:chExt cx="1549476" cy="609599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CE712621-5738-F824-9A5A-39FFAC370E2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535631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2243C7E7-E53E-B1AB-03A3-619CB39C86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8801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19051</xdr:colOff>
      <xdr:row>18</xdr:row>
      <xdr:rowOff>152400</xdr:rowOff>
    </xdr:from>
    <xdr:to>
      <xdr:col>14</xdr:col>
      <xdr:colOff>504825</xdr:colOff>
      <xdr:row>32</xdr:row>
      <xdr:rowOff>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D9A60182-3AA1-38AD-F917-47B928AB3468}"/>
            </a:ext>
          </a:extLst>
        </xdr:cNvPr>
        <xdr:cNvGrpSpPr/>
      </xdr:nvGrpSpPr>
      <xdr:grpSpPr>
        <a:xfrm>
          <a:off x="1981201" y="3895725"/>
          <a:ext cx="7867649" cy="2514600"/>
          <a:chOff x="2133601" y="4495800"/>
          <a:chExt cx="7867649" cy="2514600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251C9994-7AE7-2F91-D8B0-6631D0EA4980}"/>
              </a:ext>
            </a:extLst>
          </xdr:cNvPr>
          <xdr:cNvGrpSpPr/>
        </xdr:nvGrpSpPr>
        <xdr:grpSpPr>
          <a:xfrm>
            <a:off x="2143125" y="4495800"/>
            <a:ext cx="7858125" cy="2514600"/>
            <a:chOff x="1920118" y="1952625"/>
            <a:chExt cx="4619625" cy="2543175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9F902500-C2E9-000A-2238-EF193B1E2F5A}"/>
                </a:ext>
              </a:extLst>
            </xdr:cNvPr>
            <xdr:cNvSpPr/>
          </xdr:nvSpPr>
          <xdr:spPr>
            <a:xfrm>
              <a:off x="1920118" y="1952625"/>
              <a:ext cx="4619625" cy="2543175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chemeClr val="accent6">
                    <a:lumMod val="40000"/>
                    <a:lumOff val="60000"/>
                  </a:schemeClr>
                </a:solidFill>
              </a:endParaRPr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FF67EA51-60C7-4765-BA8D-0AA5FADC17BC}"/>
                </a:ext>
              </a:extLst>
            </xdr:cNvPr>
            <xdr:cNvGraphicFramePr>
              <a:graphicFrameLocks/>
            </xdr:cNvGraphicFramePr>
          </xdr:nvGraphicFramePr>
          <xdr:xfrm>
            <a:off x="2181225" y="2252662"/>
            <a:ext cx="4048125" cy="208121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5" name="Retângulo: Cantos Superiores Recortados 24">
            <a:extLst>
              <a:ext uri="{FF2B5EF4-FFF2-40B4-BE49-F238E27FC236}">
                <a16:creationId xmlns:a16="http://schemas.microsoft.com/office/drawing/2014/main" id="{167CE6A2-CB42-41CF-88C5-29A25D6C56C4}"/>
              </a:ext>
            </a:extLst>
          </xdr:cNvPr>
          <xdr:cNvSpPr/>
        </xdr:nvSpPr>
        <xdr:spPr>
          <a:xfrm>
            <a:off x="2133601" y="4495800"/>
            <a:ext cx="7858124" cy="323850"/>
          </a:xfrm>
          <a:prstGeom prst="snip2SameRect">
            <a:avLst>
              <a:gd name="adj1" fmla="val 0"/>
              <a:gd name="adj2" fmla="val 0"/>
            </a:avLst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050" b="1" baseline="0"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  <a:endParaRPr lang="pt-BR" sz="105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576263</xdr:colOff>
      <xdr:row>0</xdr:row>
      <xdr:rowOff>142875</xdr:rowOff>
    </xdr:from>
    <xdr:to>
      <xdr:col>0</xdr:col>
      <xdr:colOff>1271588</xdr:colOff>
      <xdr:row>2</xdr:row>
      <xdr:rowOff>104775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2715D3B2-F128-4855-BF0A-FE28DACD9EFF}"/>
            </a:ext>
          </a:extLst>
        </xdr:cNvPr>
        <xdr:cNvSpPr/>
      </xdr:nvSpPr>
      <xdr:spPr>
        <a:xfrm>
          <a:off x="576263" y="14287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266700</xdr:colOff>
      <xdr:row>2</xdr:row>
      <xdr:rowOff>0</xdr:rowOff>
    </xdr:from>
    <xdr:to>
      <xdr:col>0</xdr:col>
      <xdr:colOff>1905000</xdr:colOff>
      <xdr:row>3</xdr:row>
      <xdr:rowOff>9525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F8924D93-EB59-CF9D-44BD-1DEF23D77E56}"/>
            </a:ext>
          </a:extLst>
        </xdr:cNvPr>
        <xdr:cNvSpPr/>
      </xdr:nvSpPr>
      <xdr:spPr>
        <a:xfrm>
          <a:off x="266700" y="1000125"/>
          <a:ext cx="16383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&gt;Bem</a:t>
          </a:r>
          <a:r>
            <a:rPr lang="pt-BR" sz="1100" b="1" baseline="0"/>
            <a:t> vindo, Fulano!</a:t>
          </a:r>
          <a:endParaRPr lang="pt-BR" sz="1100" b="1"/>
        </a:p>
      </xdr:txBody>
    </xdr:sp>
    <xdr:clientData/>
  </xdr:twoCellAnchor>
  <xdr:twoCellAnchor>
    <xdr:from>
      <xdr:col>15</xdr:col>
      <xdr:colOff>247650</xdr:colOff>
      <xdr:row>17</xdr:row>
      <xdr:rowOff>150019</xdr:rowOff>
    </xdr:from>
    <xdr:to>
      <xdr:col>23</xdr:col>
      <xdr:colOff>304801</xdr:colOff>
      <xdr:row>32</xdr:row>
      <xdr:rowOff>40481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903092AE-124A-07BA-5099-0D56AA2B00D8}"/>
            </a:ext>
          </a:extLst>
        </xdr:cNvPr>
        <xdr:cNvGrpSpPr/>
      </xdr:nvGrpSpPr>
      <xdr:grpSpPr>
        <a:xfrm>
          <a:off x="10201275" y="3702844"/>
          <a:ext cx="4933951" cy="2747962"/>
          <a:chOff x="10248900" y="3781425"/>
          <a:chExt cx="4933951" cy="2747962"/>
        </a:xfrm>
      </xdr:grpSpPr>
      <xdr:graphicFrame macro="">
        <xdr:nvGraphicFramePr>
          <xdr:cNvPr id="22" name="Gráfico 21">
            <a:extLst>
              <a:ext uri="{FF2B5EF4-FFF2-40B4-BE49-F238E27FC236}">
                <a16:creationId xmlns:a16="http://schemas.microsoft.com/office/drawing/2014/main" id="{C0D131C4-649A-415C-8706-5131605AA5E6}"/>
              </a:ext>
            </a:extLst>
          </xdr:cNvPr>
          <xdr:cNvGraphicFramePr>
            <a:graphicFrameLocks/>
          </xdr:cNvGraphicFramePr>
        </xdr:nvGraphicFramePr>
        <xdr:xfrm>
          <a:off x="10248900" y="4114800"/>
          <a:ext cx="4933951" cy="24145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24" name="Retângulo: Cantos Superiores Recortados 23">
            <a:extLst>
              <a:ext uri="{FF2B5EF4-FFF2-40B4-BE49-F238E27FC236}">
                <a16:creationId xmlns:a16="http://schemas.microsoft.com/office/drawing/2014/main" id="{41C5FF28-E5C1-4F5F-BFE1-6B023A3E13AF}"/>
              </a:ext>
            </a:extLst>
          </xdr:cNvPr>
          <xdr:cNvSpPr/>
        </xdr:nvSpPr>
        <xdr:spPr>
          <a:xfrm>
            <a:off x="10248900" y="3781425"/>
            <a:ext cx="4933950" cy="329135"/>
          </a:xfrm>
          <a:prstGeom prst="snip2SameRect">
            <a:avLst>
              <a:gd name="adj1" fmla="val 0"/>
              <a:gd name="adj2" fmla="val 0"/>
            </a:avLst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>
                <a:latin typeface="Segoe UI" panose="020B0502040204020203" pitchFamily="34" charset="0"/>
                <a:cs typeface="Segoe UI" panose="020B0502040204020203" pitchFamily="34" charset="0"/>
              </a:rPr>
              <a:t>FINANCIAL IMPACT</a:t>
            </a:r>
            <a:r>
              <a:rPr lang="pt-BR" sz="1050" b="1" baseline="0">
                <a:latin typeface="Segoe UI" panose="020B0502040204020203" pitchFamily="34" charset="0"/>
                <a:cs typeface="Segoe UI" panose="020B0502040204020203" pitchFamily="34" charset="0"/>
              </a:rPr>
              <a:t> OF COUPONS BY CATEGORY</a:t>
            </a:r>
            <a:endParaRPr lang="pt-BR" sz="105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l ." refreshedDate="46063.073504745371" createdVersion="8" refreshedVersion="8" minRefreshableVersion="3" recordCount="295" xr:uid="{33DD0FFF-74B8-43EA-A6AE-2112A881A71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586177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89B9D-F0DD-4B13-82FE-189F95EACFF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I23:J27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dataField="1"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Coupon Value" fld="11" baseField="6" baseItem="0" numFmtId="44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4FEC8-44DC-4468-A9BE-6F2067E87E8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I15:J18" firstHeaderRow="1" firstDataRow="1" firstDataCol="1"/>
  <pivotFields count="13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Subscriber ID" fld="0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4C1E9-073D-483C-8FBF-124C70EA3A9E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32:D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8340F-2A71-4BDD-8980-EB119E00E1C7}" name="tbl_E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20:D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D2DE8-18B2-4D49-97BC-CD3D84963B2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10:D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1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0DBD091-59FB-439A-8983-E4291F692FE1}" sourceName="Subscription Type">
  <pivotTables>
    <pivotTable tabId="3" name="tbl_annual_total"/>
    <pivotTable tabId="3" name="tbl_EA"/>
    <pivotTable tabId="3" name="Tabela dinâmica3"/>
    <pivotTable tabId="3" name="Tabela dinâmica1"/>
    <pivotTable tabId="3" name="Tabela dinâmica2"/>
  </pivotTables>
  <data>
    <tabular pivotCacheId="1958617767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0A6FA2D-AEFB-41EF-9104-459FA9E41234}" cache="SegmentaçãodeDados_Subscription_Type" caption="Subscription Type" style="SlicerStyleDark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Q21" sqref="Q2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3:J36"/>
  <sheetViews>
    <sheetView showGridLines="0" topLeftCell="A13" workbookViewId="0">
      <selection activeCell="I23" sqref="I23:J27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18.42578125" bestFit="1" customWidth="1"/>
    <col min="10" max="11" width="22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3:10" x14ac:dyDescent="0.25">
      <c r="C3" s="18" t="s">
        <v>313</v>
      </c>
      <c r="D3" s="18"/>
      <c r="E3" s="18"/>
      <c r="F3" s="18"/>
      <c r="G3" s="18"/>
    </row>
    <row r="5" spans="3:10" x14ac:dyDescent="0.25">
      <c r="C5" t="s">
        <v>314</v>
      </c>
    </row>
    <row r="6" spans="3:10" x14ac:dyDescent="0.25">
      <c r="C6" t="s">
        <v>318</v>
      </c>
    </row>
    <row r="8" spans="3:10" x14ac:dyDescent="0.25">
      <c r="C8" s="12" t="s">
        <v>16</v>
      </c>
      <c r="D8" t="s">
        <v>324</v>
      </c>
    </row>
    <row r="10" spans="3:10" x14ac:dyDescent="0.25">
      <c r="C10" s="12" t="s">
        <v>315</v>
      </c>
      <c r="D10" t="s">
        <v>317</v>
      </c>
    </row>
    <row r="11" spans="3:10" x14ac:dyDescent="0.25">
      <c r="C11" s="13" t="s">
        <v>23</v>
      </c>
      <c r="D11" s="14">
        <v>3847</v>
      </c>
    </row>
    <row r="12" spans="3:10" x14ac:dyDescent="0.25">
      <c r="C12" s="13" t="s">
        <v>19</v>
      </c>
      <c r="D12" s="14">
        <v>3786</v>
      </c>
    </row>
    <row r="13" spans="3:10" x14ac:dyDescent="0.25">
      <c r="C13" s="13" t="s">
        <v>316</v>
      </c>
      <c r="D13" s="14">
        <v>7633</v>
      </c>
    </row>
    <row r="15" spans="3:10" x14ac:dyDescent="0.25">
      <c r="I15" s="12" t="s">
        <v>315</v>
      </c>
      <c r="J15" t="s">
        <v>325</v>
      </c>
    </row>
    <row r="16" spans="3:10" x14ac:dyDescent="0.25">
      <c r="C16" s="13" t="s">
        <v>320</v>
      </c>
      <c r="I16" s="13" t="s">
        <v>23</v>
      </c>
      <c r="J16" s="24">
        <v>0.49842951902138466</v>
      </c>
    </row>
    <row r="17" spans="3:10" x14ac:dyDescent="0.25">
      <c r="C17" s="13"/>
      <c r="I17" s="13" t="s">
        <v>19</v>
      </c>
      <c r="J17" s="24">
        <v>0.50157048097861534</v>
      </c>
    </row>
    <row r="18" spans="3:10" x14ac:dyDescent="0.25">
      <c r="C18" s="12" t="s">
        <v>16</v>
      </c>
      <c r="D18" t="s">
        <v>324</v>
      </c>
      <c r="I18" s="13" t="s">
        <v>316</v>
      </c>
      <c r="J18" s="24">
        <v>1</v>
      </c>
    </row>
    <row r="20" spans="3:10" x14ac:dyDescent="0.25">
      <c r="C20" s="12" t="s">
        <v>315</v>
      </c>
      <c r="D20" t="s">
        <v>321</v>
      </c>
    </row>
    <row r="21" spans="3:10" x14ac:dyDescent="0.25">
      <c r="C21" s="13" t="s">
        <v>22</v>
      </c>
      <c r="D21" s="19">
        <v>0</v>
      </c>
      <c r="F21" s="17">
        <f>GETPIVOTDATA("EA Play Season Pass
Price",$C$20)</f>
        <v>2940</v>
      </c>
    </row>
    <row r="22" spans="3:10" x14ac:dyDescent="0.25">
      <c r="C22" s="13" t="s">
        <v>26</v>
      </c>
      <c r="D22" s="19">
        <v>0</v>
      </c>
    </row>
    <row r="23" spans="3:10" x14ac:dyDescent="0.25">
      <c r="C23" s="13" t="s">
        <v>18</v>
      </c>
      <c r="D23" s="19">
        <v>2940</v>
      </c>
      <c r="I23" s="12" t="s">
        <v>315</v>
      </c>
      <c r="J23" t="s">
        <v>326</v>
      </c>
    </row>
    <row r="24" spans="3:10" x14ac:dyDescent="0.25">
      <c r="C24" s="13" t="s">
        <v>316</v>
      </c>
      <c r="D24" s="19">
        <v>2940</v>
      </c>
      <c r="I24" s="13" t="s">
        <v>24</v>
      </c>
      <c r="J24" s="14">
        <v>476</v>
      </c>
    </row>
    <row r="25" spans="3:10" x14ac:dyDescent="0.25">
      <c r="I25" s="13" t="s">
        <v>20</v>
      </c>
      <c r="J25" s="14">
        <v>949</v>
      </c>
    </row>
    <row r="26" spans="3:10" x14ac:dyDescent="0.25">
      <c r="I26" s="13" t="s">
        <v>27</v>
      </c>
      <c r="J26" s="14">
        <v>697</v>
      </c>
    </row>
    <row r="27" spans="3:10" x14ac:dyDescent="0.25">
      <c r="C27" s="13" t="s">
        <v>322</v>
      </c>
      <c r="I27" s="13" t="s">
        <v>316</v>
      </c>
      <c r="J27" s="14">
        <v>2122</v>
      </c>
    </row>
    <row r="30" spans="3:10" x14ac:dyDescent="0.25">
      <c r="C30" s="12" t="s">
        <v>16</v>
      </c>
      <c r="D30" t="s">
        <v>324</v>
      </c>
    </row>
    <row r="32" spans="3:10" x14ac:dyDescent="0.25">
      <c r="C32" s="12" t="s">
        <v>315</v>
      </c>
      <c r="D32" t="s">
        <v>323</v>
      </c>
    </row>
    <row r="33" spans="3:6" x14ac:dyDescent="0.25">
      <c r="C33" s="13" t="s">
        <v>22</v>
      </c>
      <c r="D33" s="19">
        <v>0</v>
      </c>
    </row>
    <row r="34" spans="3:6" x14ac:dyDescent="0.25">
      <c r="C34" s="13" t="s">
        <v>26</v>
      </c>
      <c r="D34" s="19">
        <v>1920</v>
      </c>
    </row>
    <row r="35" spans="3:6" x14ac:dyDescent="0.25">
      <c r="C35" s="13" t="s">
        <v>18</v>
      </c>
      <c r="D35" s="19">
        <v>1960</v>
      </c>
    </row>
    <row r="36" spans="3:6" x14ac:dyDescent="0.25">
      <c r="C36" s="13" t="s">
        <v>316</v>
      </c>
      <c r="D36" s="19">
        <v>3880</v>
      </c>
      <c r="F36" s="17">
        <f>GETPIVOTDATA("Minecraft Season Pass Price",$C$32)</f>
        <v>3880</v>
      </c>
    </row>
  </sheetData>
  <mergeCells count="1">
    <mergeCell ref="C3:G3"/>
  </mergeCells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J8"/>
  <sheetViews>
    <sheetView showGridLines="0" showRowColHeaders="0" tabSelected="1" zoomScaleNormal="100" workbookViewId="0">
      <selection activeCell="Z12" sqref="Z12"/>
    </sheetView>
  </sheetViews>
  <sheetFormatPr defaultRowHeight="15" x14ac:dyDescent="0.25"/>
  <cols>
    <col min="1" max="1" width="29.42578125" style="15" customWidth="1"/>
    <col min="2" max="2" width="3.5703125" style="16" customWidth="1"/>
    <col min="3" max="11" width="9.140625" style="16"/>
    <col min="12" max="12" width="6.5703125" style="16" customWidth="1"/>
    <col min="13" max="16384" width="9.140625" style="16"/>
  </cols>
  <sheetData>
    <row r="1" spans="1:10" s="20" customFormat="1" x14ac:dyDescent="0.25">
      <c r="A1" s="15"/>
    </row>
    <row r="2" spans="1:10" s="20" customFormat="1" ht="42.75" customHeight="1" thickBot="1" x14ac:dyDescent="0.35">
      <c r="A2" s="15"/>
      <c r="B2" s="26"/>
      <c r="C2" s="23" t="s">
        <v>319</v>
      </c>
      <c r="D2" s="21"/>
      <c r="E2" s="21"/>
      <c r="F2" s="21"/>
      <c r="G2" s="21"/>
      <c r="H2" s="21"/>
      <c r="I2" s="21"/>
      <c r="J2" s="21"/>
    </row>
    <row r="3" spans="1:10" ht="18.75" customHeight="1" thickTop="1" x14ac:dyDescent="0.25">
      <c r="A3" s="22"/>
      <c r="C3" s="25" t="s">
        <v>327</v>
      </c>
    </row>
    <row r="4" spans="1:10" ht="7.5" customHeight="1" x14ac:dyDescent="0.25"/>
    <row r="5" spans="1:10" ht="7.5" customHeight="1" x14ac:dyDescent="0.25"/>
    <row r="6" spans="1:10" ht="10.5" customHeight="1" x14ac:dyDescent="0.25"/>
    <row r="7" spans="1:10" ht="9.75" customHeight="1" x14ac:dyDescent="0.25"/>
    <row r="8" spans="1:10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Saul .</cp:lastModifiedBy>
  <dcterms:created xsi:type="dcterms:W3CDTF">2024-12-19T13:13:10Z</dcterms:created>
  <dcterms:modified xsi:type="dcterms:W3CDTF">2026-02-10T20:14:11Z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